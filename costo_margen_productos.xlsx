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porteQ\Downloads\"/>
    </mc:Choice>
  </mc:AlternateContent>
  <xr:revisionPtr revIDLastSave="0" documentId="13_ncr:1_{ABC147BC-6742-40EA-BCF0-141C8A77F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3" i="2"/>
  <c r="I3" i="2" s="1"/>
  <c r="C5" i="2"/>
  <c r="G5" i="2" s="1"/>
  <c r="I5" i="2" s="1"/>
  <c r="H5" i="2" s="1"/>
  <c r="C4" i="2"/>
  <c r="G4" i="2" s="1"/>
  <c r="I4" i="2" s="1"/>
  <c r="H4" i="2" s="1"/>
</calcChain>
</file>

<file path=xl/sharedStrings.xml><?xml version="1.0" encoding="utf-8"?>
<sst xmlns="http://schemas.openxmlformats.org/spreadsheetml/2006/main" count="22" uniqueCount="22">
  <si>
    <t>COCA COLA 1,5LT</t>
  </si>
  <si>
    <t>Descripcion</t>
  </si>
  <si>
    <t xml:space="preserve">Unidades </t>
  </si>
  <si>
    <t>COCA COLA 1,5LT Pack 6</t>
  </si>
  <si>
    <t>COCA COLA 1,5LT Pack 12</t>
  </si>
  <si>
    <t>COSTO</t>
  </si>
  <si>
    <t>MARGEN PROPUSTO</t>
  </si>
  <si>
    <t>IVA</t>
  </si>
  <si>
    <t>MARGEN REAL</t>
  </si>
  <si>
    <t>Iva calculado</t>
  </si>
  <si>
    <t>(C3*F3)+C3</t>
  </si>
  <si>
    <t>J3-C3)/J3*100</t>
  </si>
  <si>
    <t>(G3*E3)+G3</t>
  </si>
  <si>
    <t>Precio modificado a Mano</t>
  </si>
  <si>
    <t>Precio Fianal Calculado</t>
  </si>
  <si>
    <t>Precio Final</t>
  </si>
  <si>
    <t>si modifico Precion a mano tiene que cambiar el margen Real</t>
  </si>
  <si>
    <t>si NO modifico , toma el margen propuesto</t>
  </si>
  <si>
    <t>solo se modifca el que tiene presentacion unitaria</t>
  </si>
  <si>
    <t>y las otras presentaciones se calcula por precio del unitario * cantidad</t>
  </si>
  <si>
    <t>Auditoria de Cambios de Precio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</si>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</sst>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164" fontId="0" fillId="2" borderId="0" xfId="0" applyNumberFormat="1" applyFill="1"/>
    <xf numFmtId="10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10"/>
  <sheetViews>
    <sheetView tabSelected="1" workbookViewId="0">
      <selection activeCell="L20" sqref="L20"/>
    </sheetView>
  </sheetViews>
  <sheetFormatPr baseColWidth="10" defaultRowHeight="14.4" x14ac:dyDescent="0.3"/>
  <cols>
    <col min="1" max="1" width="36.6640625" customWidth="1"/>
    <col min="4" max="4" width="5.33203125" customWidth="1"/>
    <col min="5" max="5" width="18" bestFit="1" customWidth="1"/>
    <col min="6" max="8" width="13.88671875" customWidth="1"/>
    <col min="9" max="9" width="21.5546875" bestFit="1" customWidth="1"/>
    <col min="10" max="10" width="24.109375" bestFit="1" customWidth="1"/>
    <col min="12" max="12" width="29.109375" bestFit="1" customWidth="1"/>
  </cols>
  <sheetData>
    <row r="1" spans="1:12" ht="15" x14ac:dyDescent="0.3">
      <c r="A1" t="s">
        <v>1</v>
      </c>
      <c r="B1" s="1" t="s">
        <v>2</v>
      </c>
      <c r="C1" t="s">
        <v>5</v>
      </c>
      <c r="E1" t="s">
        <v>6</v>
      </c>
      <c r="F1" s="5" t="s">
        <v>7</v>
      </c>
      <c r="G1" t="s">
        <v>9</v>
      </c>
      <c r="H1" t="s">
        <v>8</v>
      </c>
      <c r="I1" t="s">
        <v>14</v>
      </c>
      <c r="J1" t="s">
        <v>13</v>
      </c>
    </row>
    <row r="2" spans="1:12" ht="15" x14ac:dyDescent="0.3">
      <c r="A2" s="10"/>
      <c r="B2" s="10"/>
      <c r="C2" s="10"/>
      <c r="D2" s="10"/>
      <c r="E2" s="10"/>
      <c r="F2" s="10"/>
      <c r="G2" s="10" t="s">
        <v>10</v>
      </c>
      <c r="H2" s="10" t="s">
        <v>11</v>
      </c>
      <c r="I2" s="10" t="s">
        <v>12</v>
      </c>
      <c r="J2" s="10"/>
      <c r="L2" s="10" t="s">
        <v>20</v>
      </c>
    </row>
    <row r="3" spans="1:12" ht="15" x14ac:dyDescent="0.3">
      <c r="A3" s="6" t="s">
        <v>0</v>
      </c>
      <c r="B3" s="6">
        <v>1</v>
      </c>
      <c r="C3" s="7">
        <v>1000</v>
      </c>
      <c r="D3" s="6"/>
      <c r="E3" s="8">
        <v>0.85</v>
      </c>
      <c r="F3" s="9">
        <v>0.21</v>
      </c>
      <c r="G3" s="7">
        <f>(C3*F3)+C3</f>
        <v>1210</v>
      </c>
      <c r="H3" s="7">
        <f>(J3-C3)/J3*100</f>
        <v>47.368421052631575</v>
      </c>
      <c r="I3" s="7">
        <f>(G3*E3)+G3</f>
        <v>2238.5</v>
      </c>
      <c r="J3" s="7">
        <v>1900</v>
      </c>
    </row>
    <row r="4" spans="1:12" ht="15" x14ac:dyDescent="0.3">
      <c r="A4" t="s">
        <v>3</v>
      </c>
      <c r="B4">
        <v>6</v>
      </c>
      <c r="C4" s="4">
        <f>B4*C3</f>
        <v>6000</v>
      </c>
      <c r="E4" s="3">
        <v>0.3</v>
      </c>
      <c r="F4" s="2">
        <v>0.21</v>
      </c>
      <c r="G4" s="4">
        <f t="shared" ref="G4:G5" si="0">(C4*F4)+C4</f>
        <v>7260</v>
      </c>
      <c r="H4" s="4">
        <f>(I4-C4)/I4*100</f>
        <v>36.427209154481879</v>
      </c>
      <c r="I4" s="4">
        <f t="shared" ref="I4:I5" si="1">(G4*E4)+G4</f>
        <v>9438</v>
      </c>
      <c r="J4" s="4">
        <v>9400</v>
      </c>
    </row>
    <row r="5" spans="1:12" ht="15" x14ac:dyDescent="0.3">
      <c r="A5" s="6" t="s">
        <v>4</v>
      </c>
      <c r="B5" s="6">
        <v>12</v>
      </c>
      <c r="C5" s="7">
        <f>B5*C3</f>
        <v>12000</v>
      </c>
      <c r="D5" s="6"/>
      <c r="E5" s="8">
        <v>0.2</v>
      </c>
      <c r="F5" s="9">
        <v>0.21</v>
      </c>
      <c r="G5" s="7">
        <f t="shared" si="0"/>
        <v>14520</v>
      </c>
      <c r="H5" s="7">
        <f>(I5-C5)/I5*100</f>
        <v>31.129476584022036</v>
      </c>
      <c r="I5" s="7">
        <f t="shared" si="1"/>
        <v>17424</v>
      </c>
      <c r="J5" s="7">
        <v>17500</v>
      </c>
    </row>
    <row r="7" spans="1:12" x14ac:dyDescent="0.3">
      <c r="I7" s="12" t="s">
        <v>15</v>
      </c>
      <c r="J7" s="12"/>
    </row>
    <row r="8" spans="1:12" x14ac:dyDescent="0.3">
      <c r="C8" s="11" t="s">
        <v>21</v>
      </c>
      <c r="D8" s="11"/>
      <c r="E8" s="11"/>
      <c r="F8" s="11"/>
      <c r="G8" s="11"/>
      <c r="I8" s="11" t="s">
        <v>16</v>
      </c>
      <c r="J8" s="11"/>
    </row>
    <row r="9" spans="1:12" x14ac:dyDescent="0.3">
      <c r="C9" s="11" t="s">
        <v>18</v>
      </c>
      <c r="D9" s="11"/>
      <c r="E9" s="11"/>
      <c r="F9" s="11"/>
      <c r="G9" s="11"/>
      <c r="I9" s="11" t="s">
        <v>17</v>
      </c>
      <c r="J9" s="11"/>
    </row>
    <row r="10" spans="1:12" x14ac:dyDescent="0.3">
      <c r="C10" s="11" t="s">
        <v>19</v>
      </c>
      <c r="D10" s="11"/>
      <c r="E10" s="11"/>
      <c r="F10" s="11"/>
      <c r="G10" s="11"/>
    </row>
  </sheetData>
  <mergeCells count="1"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Fabián Gomez</cp:lastModifiedBy>
  <dcterms:created xsi:type="dcterms:W3CDTF">2026-10-06T14:37:06Z</dcterms:created>
  <dcterms:modified xsi:type="dcterms:W3CDTF">2026-10-07T14:52:00Z</dcterms:modified>
</cp:coreProperties>
</file>